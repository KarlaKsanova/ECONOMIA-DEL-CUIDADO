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censo_CDMX_observatorio_v1" sheetId="1" r:id="rId5"/>
  </sheets>
  <definedNames/>
  <calcPr/>
</workbook>
</file>

<file path=xl/sharedStrings.xml><?xml version="1.0" encoding="utf-8"?>
<sst xmlns="http://schemas.openxmlformats.org/spreadsheetml/2006/main" count="60" uniqueCount="60">
  <si>
    <t>clave</t>
  </si>
  <si>
    <t>alcaldia</t>
  </si>
  <si>
    <t>pob_Total</t>
  </si>
  <si>
    <t>disc_Total</t>
  </si>
  <si>
    <t>porcentaje_limitacion_discapacidad</t>
  </si>
  <si>
    <t>pob_De 0 a 4 años</t>
  </si>
  <si>
    <t>pob_De 5 a 9 años</t>
  </si>
  <si>
    <t>pob_De 10 a 14 años</t>
  </si>
  <si>
    <t>pob_De 15 a 19 años</t>
  </si>
  <si>
    <t>pob_De 20 a 24 años</t>
  </si>
  <si>
    <t>pob_De 25 a 29 años</t>
  </si>
  <si>
    <t>pob_De 30 a 34 años</t>
  </si>
  <si>
    <t>pob_De 35 a 39 años</t>
  </si>
  <si>
    <t>pob_De 40 a 44 años</t>
  </si>
  <si>
    <t>pob_De 45 a 49 años</t>
  </si>
  <si>
    <t>pob_De 50 a 54 años</t>
  </si>
  <si>
    <t>pob_De 55 a 59 años</t>
  </si>
  <si>
    <t>pob_De 60 a 64 años</t>
  </si>
  <si>
    <t>pob_De 65 a 69 años</t>
  </si>
  <si>
    <t>pob_De 70 a 74 años</t>
  </si>
  <si>
    <t>pob_De 75 a 79 años</t>
  </si>
  <si>
    <t>pob_De 80 a 84 años</t>
  </si>
  <si>
    <t>pob_85 años y más</t>
  </si>
  <si>
    <t>pob_No especificado</t>
  </si>
  <si>
    <t>pob_0-14</t>
  </si>
  <si>
    <t>pob_60_mas</t>
  </si>
  <si>
    <t>pct_0_14</t>
  </si>
  <si>
    <t>pct_60_mas</t>
  </si>
  <si>
    <t>09 010</t>
  </si>
  <si>
    <t>Álvaro Obregón</t>
  </si>
  <si>
    <t>09 002</t>
  </si>
  <si>
    <t>Azcapotzalco</t>
  </si>
  <si>
    <t>09 014</t>
  </si>
  <si>
    <t>Benito Juárez</t>
  </si>
  <si>
    <t>09 003</t>
  </si>
  <si>
    <t>Coyoacán</t>
  </si>
  <si>
    <t>09 004</t>
  </si>
  <si>
    <t>Cuajimalpa de Morelos</t>
  </si>
  <si>
    <t>09 015</t>
  </si>
  <si>
    <t>Cuauhtémoc</t>
  </si>
  <si>
    <t>09 005</t>
  </si>
  <si>
    <t>Gustavo A. Madero</t>
  </si>
  <si>
    <t>09 006</t>
  </si>
  <si>
    <t>Iztacalco</t>
  </si>
  <si>
    <t>09 007</t>
  </si>
  <si>
    <t>Iztapalapa</t>
  </si>
  <si>
    <t>09 008</t>
  </si>
  <si>
    <t>La Magdalena Contreras</t>
  </si>
  <si>
    <t>09 016</t>
  </si>
  <si>
    <t>Miguel Hidalgo</t>
  </si>
  <si>
    <t>09 009</t>
  </si>
  <si>
    <t>Milpa Alta</t>
  </si>
  <si>
    <t>09 011</t>
  </si>
  <si>
    <t>Tláhuac</t>
  </si>
  <si>
    <t>09 012</t>
  </si>
  <si>
    <t>Tlalpan</t>
  </si>
  <si>
    <t>09 017</t>
  </si>
  <si>
    <t>Venustiano Carranza</t>
  </si>
  <si>
    <t>09 013</t>
  </si>
  <si>
    <t>Xochimilco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</si>
</sst>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>
        <v>759137.0</v>
      </c>
      <c r="D2" s="1">
        <v>131077.0</v>
      </c>
      <c r="E2" s="1">
        <v>17.27</v>
      </c>
      <c r="F2" s="1">
        <v>38484.0</v>
      </c>
      <c r="G2" s="1">
        <v>46700.0</v>
      </c>
      <c r="H2" s="1">
        <v>50868.0</v>
      </c>
      <c r="I2" s="1">
        <v>54848.0</v>
      </c>
      <c r="J2" s="1">
        <v>59941.0</v>
      </c>
      <c r="K2" s="1">
        <v>60708.0</v>
      </c>
      <c r="L2" s="1">
        <v>59486.0</v>
      </c>
      <c r="M2" s="1">
        <v>57172.0</v>
      </c>
      <c r="N2" s="1">
        <v>55144.0</v>
      </c>
      <c r="O2" s="1">
        <v>55973.0</v>
      </c>
      <c r="P2" s="1">
        <v>52721.0</v>
      </c>
      <c r="Q2" s="1">
        <v>43950.0</v>
      </c>
      <c r="R2" s="1">
        <v>38506.0</v>
      </c>
      <c r="S2" s="1">
        <v>29503.0</v>
      </c>
      <c r="T2" s="1">
        <v>21797.0</v>
      </c>
      <c r="U2" s="1">
        <v>14182.0</v>
      </c>
      <c r="V2" s="1">
        <v>9657.0</v>
      </c>
      <c r="W2" s="1">
        <v>8674.0</v>
      </c>
      <c r="X2" s="1">
        <v>823.0</v>
      </c>
      <c r="Y2" s="2">
        <f t="shared" ref="Y2:Y17" si="1">SUM(F2+G2+H2)</f>
        <v>136052</v>
      </c>
      <c r="Z2" s="2">
        <f t="shared" ref="Z2:Z17" si="2">SUM(R2+S2+T2+U2+V2+W2)</f>
        <v>122319</v>
      </c>
      <c r="AA2" s="3">
        <f t="shared" ref="AA2:AA17" si="3">(Y2/C2)</f>
        <v>0.1792192977</v>
      </c>
      <c r="AB2" s="4">
        <f t="shared" ref="AB2:AB17" si="4">(Z2/C2)</f>
        <v>0.1611290189</v>
      </c>
    </row>
    <row r="3">
      <c r="A3" s="1" t="s">
        <v>30</v>
      </c>
      <c r="B3" s="1" t="s">
        <v>31</v>
      </c>
      <c r="C3" s="1">
        <v>432205.0</v>
      </c>
      <c r="D3" s="1">
        <v>83513.0</v>
      </c>
      <c r="E3" s="1">
        <v>19.32</v>
      </c>
      <c r="F3" s="1">
        <v>21060.0</v>
      </c>
      <c r="G3" s="1">
        <v>23420.0</v>
      </c>
      <c r="H3" s="1">
        <v>25886.0</v>
      </c>
      <c r="I3" s="1">
        <v>27983.0</v>
      </c>
      <c r="J3" s="1">
        <v>31456.0</v>
      </c>
      <c r="K3" s="1">
        <v>34405.0</v>
      </c>
      <c r="L3" s="1">
        <v>34905.0</v>
      </c>
      <c r="M3" s="1">
        <v>33162.0</v>
      </c>
      <c r="N3" s="1">
        <v>31245.0</v>
      </c>
      <c r="O3" s="1">
        <v>31859.0</v>
      </c>
      <c r="P3" s="1">
        <v>31135.0</v>
      </c>
      <c r="Q3" s="1">
        <v>26674.0</v>
      </c>
      <c r="R3" s="1">
        <v>23787.0</v>
      </c>
      <c r="S3" s="1">
        <v>18059.0</v>
      </c>
      <c r="T3" s="1">
        <v>14232.0</v>
      </c>
      <c r="U3" s="1">
        <v>9631.0</v>
      </c>
      <c r="V3" s="1">
        <v>6845.0</v>
      </c>
      <c r="W3" s="1">
        <v>6096.0</v>
      </c>
      <c r="X3" s="1">
        <v>365.0</v>
      </c>
      <c r="Y3" s="2">
        <f t="shared" si="1"/>
        <v>70366</v>
      </c>
      <c r="Z3" s="2">
        <f t="shared" si="2"/>
        <v>78650</v>
      </c>
      <c r="AA3" s="3">
        <f t="shared" si="3"/>
        <v>0.1628070013</v>
      </c>
      <c r="AB3" s="4">
        <f t="shared" si="4"/>
        <v>0.1819738319</v>
      </c>
    </row>
    <row r="4">
      <c r="A4" s="1" t="s">
        <v>32</v>
      </c>
      <c r="B4" s="1" t="s">
        <v>33</v>
      </c>
      <c r="C4" s="1">
        <v>434153.0</v>
      </c>
      <c r="D4" s="1">
        <v>72246.0</v>
      </c>
      <c r="E4" s="1">
        <v>16.64</v>
      </c>
      <c r="F4" s="1">
        <v>16642.0</v>
      </c>
      <c r="G4" s="1">
        <v>17069.0</v>
      </c>
      <c r="H4" s="1">
        <v>17532.0</v>
      </c>
      <c r="I4" s="1">
        <v>18970.0</v>
      </c>
      <c r="J4" s="1">
        <v>25111.0</v>
      </c>
      <c r="K4" s="1">
        <v>37175.0</v>
      </c>
      <c r="L4" s="1">
        <v>45187.0</v>
      </c>
      <c r="M4" s="1">
        <v>42967.0</v>
      </c>
      <c r="N4" s="1">
        <v>36849.0</v>
      </c>
      <c r="O4" s="1">
        <v>33531.0</v>
      </c>
      <c r="P4" s="1">
        <v>29025.0</v>
      </c>
      <c r="Q4" s="1">
        <v>26713.0</v>
      </c>
      <c r="R4" s="1">
        <v>25751.0</v>
      </c>
      <c r="S4" s="1">
        <v>20433.0</v>
      </c>
      <c r="T4" s="1">
        <v>16089.0</v>
      </c>
      <c r="U4" s="1">
        <v>10426.0</v>
      </c>
      <c r="V4" s="1">
        <v>7348.0</v>
      </c>
      <c r="W4" s="1">
        <v>7297.0</v>
      </c>
      <c r="X4" s="1">
        <v>38.0</v>
      </c>
      <c r="Y4" s="2">
        <f t="shared" si="1"/>
        <v>51243</v>
      </c>
      <c r="Z4" s="2">
        <f t="shared" si="2"/>
        <v>87344</v>
      </c>
      <c r="AA4" s="3">
        <f t="shared" si="3"/>
        <v>0.118029819</v>
      </c>
      <c r="AB4" s="4">
        <f t="shared" si="4"/>
        <v>0.2011825324</v>
      </c>
    </row>
    <row r="5">
      <c r="A5" s="1" t="s">
        <v>34</v>
      </c>
      <c r="B5" s="1" t="s">
        <v>35</v>
      </c>
      <c r="C5" s="1">
        <v>614447.0</v>
      </c>
      <c r="D5" s="1">
        <v>116175.0</v>
      </c>
      <c r="E5" s="1">
        <v>18.91</v>
      </c>
      <c r="F5" s="1">
        <v>26627.0</v>
      </c>
      <c r="G5" s="1">
        <v>30448.0</v>
      </c>
      <c r="H5" s="1">
        <v>34252.0</v>
      </c>
      <c r="I5" s="1">
        <v>39399.0</v>
      </c>
      <c r="J5" s="1">
        <v>47036.0</v>
      </c>
      <c r="K5" s="1">
        <v>47839.0</v>
      </c>
      <c r="L5" s="1">
        <v>45644.0</v>
      </c>
      <c r="M5" s="1">
        <v>44680.0</v>
      </c>
      <c r="N5" s="1">
        <v>44815.0</v>
      </c>
      <c r="O5" s="1">
        <v>46180.0</v>
      </c>
      <c r="P5" s="1">
        <v>43229.0</v>
      </c>
      <c r="Q5" s="1">
        <v>37578.0</v>
      </c>
      <c r="R5" s="1">
        <v>36144.0</v>
      </c>
      <c r="S5" s="1">
        <v>30490.0</v>
      </c>
      <c r="T5" s="1">
        <v>24070.0</v>
      </c>
      <c r="U5" s="1">
        <v>15949.0</v>
      </c>
      <c r="V5" s="1">
        <v>10393.0</v>
      </c>
      <c r="W5" s="1">
        <v>9546.0</v>
      </c>
      <c r="X5" s="1">
        <v>128.0</v>
      </c>
      <c r="Y5" s="2">
        <f t="shared" si="1"/>
        <v>91327</v>
      </c>
      <c r="Z5" s="2">
        <f t="shared" si="2"/>
        <v>126592</v>
      </c>
      <c r="AA5" s="3">
        <f t="shared" si="3"/>
        <v>0.1486328357</v>
      </c>
      <c r="AB5" s="4">
        <f t="shared" si="4"/>
        <v>0.2060259062</v>
      </c>
    </row>
    <row r="6">
      <c r="A6" s="1" t="s">
        <v>36</v>
      </c>
      <c r="B6" s="1" t="s">
        <v>37</v>
      </c>
      <c r="C6" s="1">
        <v>217686.0</v>
      </c>
      <c r="D6" s="1">
        <v>27647.0</v>
      </c>
      <c r="E6" s="1">
        <v>12.7</v>
      </c>
      <c r="F6" s="1">
        <v>14255.0</v>
      </c>
      <c r="G6" s="1">
        <v>15279.0</v>
      </c>
      <c r="H6" s="1">
        <v>15773.0</v>
      </c>
      <c r="I6" s="1">
        <v>16776.0</v>
      </c>
      <c r="J6" s="1">
        <v>18294.0</v>
      </c>
      <c r="K6" s="1">
        <v>18450.0</v>
      </c>
      <c r="L6" s="1">
        <v>18156.0</v>
      </c>
      <c r="M6" s="1">
        <v>16830.0</v>
      </c>
      <c r="N6" s="1">
        <v>15914.0</v>
      </c>
      <c r="O6" s="1">
        <v>15880.0</v>
      </c>
      <c r="P6" s="1">
        <v>14603.0</v>
      </c>
      <c r="Q6" s="1">
        <v>11557.0</v>
      </c>
      <c r="R6" s="1">
        <v>9043.0</v>
      </c>
      <c r="S6" s="1">
        <v>6259.0</v>
      </c>
      <c r="T6" s="1">
        <v>4385.0</v>
      </c>
      <c r="U6" s="1">
        <v>2805.0</v>
      </c>
      <c r="V6" s="1">
        <v>1829.0</v>
      </c>
      <c r="W6" s="1">
        <v>1482.0</v>
      </c>
      <c r="X6" s="1">
        <v>116.0</v>
      </c>
      <c r="Y6" s="2">
        <f t="shared" si="1"/>
        <v>45307</v>
      </c>
      <c r="Z6" s="2">
        <f t="shared" si="2"/>
        <v>25803</v>
      </c>
      <c r="AA6" s="3">
        <f t="shared" si="3"/>
        <v>0.2081300589</v>
      </c>
      <c r="AB6" s="4">
        <f t="shared" si="4"/>
        <v>0.1185331165</v>
      </c>
    </row>
    <row r="7">
      <c r="A7" s="1" t="s">
        <v>38</v>
      </c>
      <c r="B7" s="1" t="s">
        <v>39</v>
      </c>
      <c r="C7" s="1">
        <v>545884.0</v>
      </c>
      <c r="D7" s="1">
        <v>102680.0</v>
      </c>
      <c r="E7" s="1">
        <v>18.81</v>
      </c>
      <c r="F7" s="1">
        <v>26032.0</v>
      </c>
      <c r="G7" s="1">
        <v>27530.0</v>
      </c>
      <c r="H7" s="1">
        <v>29907.0</v>
      </c>
      <c r="I7" s="1">
        <v>31790.0</v>
      </c>
      <c r="J7" s="1">
        <v>38297.0</v>
      </c>
      <c r="K7" s="1">
        <v>50171.0</v>
      </c>
      <c r="L7" s="1">
        <v>53817.0</v>
      </c>
      <c r="M7" s="1">
        <v>47893.0</v>
      </c>
      <c r="N7" s="1">
        <v>40991.0</v>
      </c>
      <c r="O7" s="1">
        <v>38772.0</v>
      </c>
      <c r="P7" s="1">
        <v>35732.0</v>
      </c>
      <c r="Q7" s="1">
        <v>31077.0</v>
      </c>
      <c r="R7" s="1">
        <v>29518.0</v>
      </c>
      <c r="S7" s="1">
        <v>22337.0</v>
      </c>
      <c r="T7" s="1">
        <v>16920.0</v>
      </c>
      <c r="U7" s="1">
        <v>10819.0</v>
      </c>
      <c r="V7" s="1">
        <v>7568.0</v>
      </c>
      <c r="W7" s="1">
        <v>6647.0</v>
      </c>
      <c r="X7" s="1">
        <v>66.0</v>
      </c>
      <c r="Y7" s="2">
        <f t="shared" si="1"/>
        <v>83469</v>
      </c>
      <c r="Z7" s="2">
        <f t="shared" si="2"/>
        <v>93809</v>
      </c>
      <c r="AA7" s="3">
        <f t="shared" si="3"/>
        <v>0.1529061119</v>
      </c>
      <c r="AB7" s="4">
        <f t="shared" si="4"/>
        <v>0.1718478651</v>
      </c>
    </row>
    <row r="8">
      <c r="A8" s="1" t="s">
        <v>40</v>
      </c>
      <c r="B8" s="1" t="s">
        <v>41</v>
      </c>
      <c r="C8" s="1">
        <v>1173351.0</v>
      </c>
      <c r="D8" s="1">
        <v>224563.0</v>
      </c>
      <c r="E8" s="1">
        <v>19.14</v>
      </c>
      <c r="F8" s="1">
        <v>63262.0</v>
      </c>
      <c r="G8" s="1">
        <v>71634.0</v>
      </c>
      <c r="H8" s="1">
        <v>77449.0</v>
      </c>
      <c r="I8" s="1">
        <v>84333.0</v>
      </c>
      <c r="J8" s="1">
        <v>91577.0</v>
      </c>
      <c r="K8" s="1">
        <v>91448.0</v>
      </c>
      <c r="L8" s="1">
        <v>87626.0</v>
      </c>
      <c r="M8" s="1">
        <v>83599.0</v>
      </c>
      <c r="N8" s="1">
        <v>81503.0</v>
      </c>
      <c r="O8" s="1">
        <v>84691.0</v>
      </c>
      <c r="P8" s="1">
        <v>82520.0</v>
      </c>
      <c r="Q8" s="1">
        <v>70006.0</v>
      </c>
      <c r="R8" s="1">
        <v>62094.0</v>
      </c>
      <c r="S8" s="1">
        <v>46560.0</v>
      </c>
      <c r="T8" s="1">
        <v>36300.0</v>
      </c>
      <c r="U8" s="1">
        <v>25079.0</v>
      </c>
      <c r="V8" s="1">
        <v>17679.0</v>
      </c>
      <c r="W8" s="1">
        <v>15757.0</v>
      </c>
      <c r="X8" s="1">
        <v>234.0</v>
      </c>
      <c r="Y8" s="2">
        <f t="shared" si="1"/>
        <v>212345</v>
      </c>
      <c r="Z8" s="2">
        <f t="shared" si="2"/>
        <v>203469</v>
      </c>
      <c r="AA8" s="3">
        <f t="shared" si="3"/>
        <v>0.1809731274</v>
      </c>
      <c r="AB8" s="4">
        <f t="shared" si="4"/>
        <v>0.1734084686</v>
      </c>
    </row>
    <row r="9">
      <c r="A9" s="1" t="s">
        <v>42</v>
      </c>
      <c r="B9" s="1" t="s">
        <v>43</v>
      </c>
      <c r="C9" s="1">
        <v>404695.0</v>
      </c>
      <c r="D9" s="1">
        <v>81519.0</v>
      </c>
      <c r="E9" s="1">
        <v>20.14</v>
      </c>
      <c r="F9" s="1">
        <v>20466.0</v>
      </c>
      <c r="G9" s="1">
        <v>23276.0</v>
      </c>
      <c r="H9" s="1">
        <v>25570.0</v>
      </c>
      <c r="I9" s="1">
        <v>27759.0</v>
      </c>
      <c r="J9" s="1">
        <v>30641.0</v>
      </c>
      <c r="K9" s="1">
        <v>31727.0</v>
      </c>
      <c r="L9" s="1">
        <v>31735.0</v>
      </c>
      <c r="M9" s="1">
        <v>30107.0</v>
      </c>
      <c r="N9" s="1">
        <v>28748.0</v>
      </c>
      <c r="O9" s="1">
        <v>30076.0</v>
      </c>
      <c r="P9" s="1">
        <v>28900.0</v>
      </c>
      <c r="Q9" s="1">
        <v>24605.0</v>
      </c>
      <c r="R9" s="1">
        <v>21833.0</v>
      </c>
      <c r="S9" s="1">
        <v>16292.0</v>
      </c>
      <c r="T9" s="1">
        <v>12400.0</v>
      </c>
      <c r="U9" s="1">
        <v>8395.0</v>
      </c>
      <c r="V9" s="1">
        <v>6174.0</v>
      </c>
      <c r="W9" s="1">
        <v>5813.0</v>
      </c>
      <c r="X9" s="1">
        <v>178.0</v>
      </c>
      <c r="Y9" s="2">
        <f t="shared" si="1"/>
        <v>69312</v>
      </c>
      <c r="Z9" s="2">
        <f t="shared" si="2"/>
        <v>70907</v>
      </c>
      <c r="AA9" s="3">
        <f t="shared" si="3"/>
        <v>0.1712697216</v>
      </c>
      <c r="AB9" s="4">
        <f t="shared" si="4"/>
        <v>0.1752109613</v>
      </c>
    </row>
    <row r="10">
      <c r="A10" s="1" t="s">
        <v>44</v>
      </c>
      <c r="B10" s="1" t="s">
        <v>45</v>
      </c>
      <c r="C10" s="1">
        <v>1835486.0</v>
      </c>
      <c r="D10" s="1">
        <v>352141.0</v>
      </c>
      <c r="E10" s="1">
        <v>19.19</v>
      </c>
      <c r="F10" s="1">
        <v>103148.0</v>
      </c>
      <c r="G10" s="1">
        <v>126728.0</v>
      </c>
      <c r="H10" s="1">
        <v>136959.0</v>
      </c>
      <c r="I10" s="1">
        <v>143193.0</v>
      </c>
      <c r="J10" s="1">
        <v>150740.0</v>
      </c>
      <c r="K10" s="1">
        <v>151590.0</v>
      </c>
      <c r="L10" s="1">
        <v>144870.0</v>
      </c>
      <c r="M10" s="1">
        <v>136930.0</v>
      </c>
      <c r="N10" s="1">
        <v>131513.0</v>
      </c>
      <c r="O10" s="1">
        <v>129385.0</v>
      </c>
      <c r="P10" s="1">
        <v>118681.0</v>
      </c>
      <c r="Q10" s="1">
        <v>99290.0</v>
      </c>
      <c r="R10" s="1">
        <v>87752.0</v>
      </c>
      <c r="S10" s="1">
        <v>64935.0</v>
      </c>
      <c r="T10" s="1">
        <v>46866.0</v>
      </c>
      <c r="U10" s="1">
        <v>29463.0</v>
      </c>
      <c r="V10" s="1">
        <v>17848.0</v>
      </c>
      <c r="W10" s="1">
        <v>15200.0</v>
      </c>
      <c r="X10" s="1">
        <v>395.0</v>
      </c>
      <c r="Y10" s="2">
        <f t="shared" si="1"/>
        <v>366835</v>
      </c>
      <c r="Z10" s="2">
        <f t="shared" si="2"/>
        <v>262064</v>
      </c>
      <c r="AA10" s="3">
        <f t="shared" si="3"/>
        <v>0.1998571496</v>
      </c>
      <c r="AB10" s="4">
        <f t="shared" si="4"/>
        <v>0.1427763546</v>
      </c>
    </row>
    <row r="11">
      <c r="A11" s="1" t="s">
        <v>46</v>
      </c>
      <c r="B11" s="1" t="s">
        <v>47</v>
      </c>
      <c r="C11" s="1">
        <v>247622.0</v>
      </c>
      <c r="D11" s="1">
        <v>49003.0</v>
      </c>
      <c r="E11" s="1">
        <v>19.79</v>
      </c>
      <c r="F11" s="1">
        <v>13012.0</v>
      </c>
      <c r="G11" s="1">
        <v>16270.0</v>
      </c>
      <c r="H11" s="1">
        <v>18096.0</v>
      </c>
      <c r="I11" s="1">
        <v>18889.0</v>
      </c>
      <c r="J11" s="1">
        <v>19969.0</v>
      </c>
      <c r="K11" s="1">
        <v>19833.0</v>
      </c>
      <c r="L11" s="1">
        <v>18142.0</v>
      </c>
      <c r="M11" s="1">
        <v>17677.0</v>
      </c>
      <c r="N11" s="1">
        <v>17816.0</v>
      </c>
      <c r="O11" s="1">
        <v>18821.0</v>
      </c>
      <c r="P11" s="1">
        <v>17234.0</v>
      </c>
      <c r="Q11" s="1">
        <v>13747.0</v>
      </c>
      <c r="R11" s="1">
        <v>12007.0</v>
      </c>
      <c r="S11" s="1">
        <v>9248.0</v>
      </c>
      <c r="T11" s="1">
        <v>6846.0</v>
      </c>
      <c r="U11" s="1">
        <v>4482.0</v>
      </c>
      <c r="V11" s="1">
        <v>2832.0</v>
      </c>
      <c r="W11" s="1">
        <v>2658.0</v>
      </c>
      <c r="X11" s="1">
        <v>43.0</v>
      </c>
      <c r="Y11" s="2">
        <f t="shared" si="1"/>
        <v>47378</v>
      </c>
      <c r="Z11" s="2">
        <f t="shared" si="2"/>
        <v>38073</v>
      </c>
      <c r="AA11" s="3">
        <f t="shared" si="3"/>
        <v>0.1913319495</v>
      </c>
      <c r="AB11" s="4">
        <f t="shared" si="4"/>
        <v>0.1537545129</v>
      </c>
    </row>
    <row r="12">
      <c r="A12" s="1" t="s">
        <v>48</v>
      </c>
      <c r="B12" s="1" t="s">
        <v>49</v>
      </c>
      <c r="C12" s="1">
        <v>414470.0</v>
      </c>
      <c r="D12" s="1">
        <v>66806.0</v>
      </c>
      <c r="E12" s="1">
        <v>16.12</v>
      </c>
      <c r="F12" s="1">
        <v>19979.0</v>
      </c>
      <c r="G12" s="1">
        <v>20874.0</v>
      </c>
      <c r="H12" s="1">
        <v>21642.0</v>
      </c>
      <c r="I12" s="1">
        <v>22594.0</v>
      </c>
      <c r="J12" s="1">
        <v>27044.0</v>
      </c>
      <c r="K12" s="1">
        <v>34671.0</v>
      </c>
      <c r="L12" s="1">
        <v>38603.0</v>
      </c>
      <c r="M12" s="1">
        <v>36202.0</v>
      </c>
      <c r="N12" s="1">
        <v>33148.0</v>
      </c>
      <c r="O12" s="1">
        <v>31242.0</v>
      </c>
      <c r="P12" s="1">
        <v>27808.0</v>
      </c>
      <c r="Q12" s="1">
        <v>23626.0</v>
      </c>
      <c r="R12" s="1">
        <v>20928.0</v>
      </c>
      <c r="S12" s="1">
        <v>16325.0</v>
      </c>
      <c r="T12" s="1">
        <v>12683.0</v>
      </c>
      <c r="U12" s="1">
        <v>8960.0</v>
      </c>
      <c r="V12" s="1">
        <v>6179.0</v>
      </c>
      <c r="W12" s="1">
        <v>6036.0</v>
      </c>
      <c r="X12" s="1">
        <v>5926.0</v>
      </c>
      <c r="Y12" s="2">
        <f t="shared" si="1"/>
        <v>62495</v>
      </c>
      <c r="Z12" s="2">
        <f t="shared" si="2"/>
        <v>71111</v>
      </c>
      <c r="AA12" s="3">
        <f t="shared" si="3"/>
        <v>0.1507829276</v>
      </c>
      <c r="AB12" s="4">
        <f t="shared" si="4"/>
        <v>0.1715709219</v>
      </c>
    </row>
    <row r="13">
      <c r="A13" s="1" t="s">
        <v>50</v>
      </c>
      <c r="B13" s="1" t="s">
        <v>51</v>
      </c>
      <c r="C13" s="1">
        <v>152685.0</v>
      </c>
      <c r="D13" s="1">
        <v>28527.0</v>
      </c>
      <c r="E13" s="1">
        <v>18.68</v>
      </c>
      <c r="F13" s="1">
        <v>10348.0</v>
      </c>
      <c r="G13" s="1">
        <v>12665.0</v>
      </c>
      <c r="H13" s="1">
        <v>13298.0</v>
      </c>
      <c r="I13" s="1">
        <v>13445.0</v>
      </c>
      <c r="J13" s="1">
        <v>13391.0</v>
      </c>
      <c r="K13" s="1">
        <v>12949.0</v>
      </c>
      <c r="L13" s="1">
        <v>11690.0</v>
      </c>
      <c r="M13" s="1">
        <v>10995.0</v>
      </c>
      <c r="N13" s="1">
        <v>10591.0</v>
      </c>
      <c r="O13" s="1">
        <v>10215.0</v>
      </c>
      <c r="P13" s="1">
        <v>9428.0</v>
      </c>
      <c r="Q13" s="1">
        <v>7219.0</v>
      </c>
      <c r="R13" s="1">
        <v>5696.0</v>
      </c>
      <c r="S13" s="1">
        <v>4012.0</v>
      </c>
      <c r="T13" s="1">
        <v>2761.0</v>
      </c>
      <c r="U13" s="1">
        <v>1830.0</v>
      </c>
      <c r="V13" s="1">
        <v>1146.0</v>
      </c>
      <c r="W13" s="1">
        <v>992.0</v>
      </c>
      <c r="X13" s="1">
        <v>14.0</v>
      </c>
      <c r="Y13" s="2">
        <f t="shared" si="1"/>
        <v>36311</v>
      </c>
      <c r="Z13" s="2">
        <f t="shared" si="2"/>
        <v>16437</v>
      </c>
      <c r="AA13" s="3">
        <f t="shared" si="3"/>
        <v>0.2378164194</v>
      </c>
      <c r="AB13" s="4">
        <f t="shared" si="4"/>
        <v>0.1076530111</v>
      </c>
    </row>
    <row r="14">
      <c r="A14" s="1" t="s">
        <v>52</v>
      </c>
      <c r="B14" s="1" t="s">
        <v>53</v>
      </c>
      <c r="C14" s="1">
        <v>392313.0</v>
      </c>
      <c r="D14" s="1">
        <v>70745.0</v>
      </c>
      <c r="E14" s="1">
        <v>18.03</v>
      </c>
      <c r="F14" s="1">
        <v>23715.0</v>
      </c>
      <c r="G14" s="1">
        <v>29097.0</v>
      </c>
      <c r="H14" s="1">
        <v>31239.0</v>
      </c>
      <c r="I14" s="1">
        <v>32389.0</v>
      </c>
      <c r="J14" s="1">
        <v>33573.0</v>
      </c>
      <c r="K14" s="1">
        <v>33430.0</v>
      </c>
      <c r="L14" s="1">
        <v>30567.0</v>
      </c>
      <c r="M14" s="1">
        <v>28805.0</v>
      </c>
      <c r="N14" s="1">
        <v>27822.0</v>
      </c>
      <c r="O14" s="1">
        <v>28300.0</v>
      </c>
      <c r="P14" s="1">
        <v>26238.0</v>
      </c>
      <c r="Q14" s="1">
        <v>20797.0</v>
      </c>
      <c r="R14" s="1">
        <v>16593.0</v>
      </c>
      <c r="S14" s="1">
        <v>11511.0</v>
      </c>
      <c r="T14" s="1">
        <v>7924.0</v>
      </c>
      <c r="U14" s="1">
        <v>4627.0</v>
      </c>
      <c r="V14" s="1">
        <v>3017.0</v>
      </c>
      <c r="W14" s="1">
        <v>2524.0</v>
      </c>
      <c r="X14" s="1">
        <v>145.0</v>
      </c>
      <c r="Y14" s="2">
        <f t="shared" si="1"/>
        <v>84051</v>
      </c>
      <c r="Z14" s="2">
        <f t="shared" si="2"/>
        <v>46196</v>
      </c>
      <c r="AA14" s="3">
        <f t="shared" si="3"/>
        <v>0.2142447485</v>
      </c>
      <c r="AB14" s="4">
        <f t="shared" si="4"/>
        <v>0.1177529167</v>
      </c>
    </row>
    <row r="15">
      <c r="A15" s="1" t="s">
        <v>54</v>
      </c>
      <c r="B15" s="1" t="s">
        <v>55</v>
      </c>
      <c r="C15" s="1">
        <v>699928.0</v>
      </c>
      <c r="D15" s="1">
        <v>127351.0</v>
      </c>
      <c r="E15" s="1">
        <v>18.19</v>
      </c>
      <c r="F15" s="1">
        <v>34857.0</v>
      </c>
      <c r="G15" s="1">
        <v>45252.0</v>
      </c>
      <c r="H15" s="1">
        <v>49043.0</v>
      </c>
      <c r="I15" s="1">
        <v>52955.0</v>
      </c>
      <c r="J15" s="1">
        <v>57573.0</v>
      </c>
      <c r="K15" s="1">
        <v>56410.0</v>
      </c>
      <c r="L15" s="1">
        <v>54450.0</v>
      </c>
      <c r="M15" s="1">
        <v>52830.0</v>
      </c>
      <c r="N15" s="1">
        <v>51206.0</v>
      </c>
      <c r="O15" s="1">
        <v>51075.0</v>
      </c>
      <c r="P15" s="1">
        <v>46290.0</v>
      </c>
      <c r="Q15" s="1">
        <v>38562.0</v>
      </c>
      <c r="R15" s="1">
        <v>34838.0</v>
      </c>
      <c r="S15" s="1">
        <v>26970.0</v>
      </c>
      <c r="T15" s="1">
        <v>19759.0</v>
      </c>
      <c r="U15" s="1">
        <v>12570.0</v>
      </c>
      <c r="V15" s="1">
        <v>8058.0</v>
      </c>
      <c r="W15" s="1">
        <v>6699.0</v>
      </c>
      <c r="X15" s="1">
        <v>531.0</v>
      </c>
      <c r="Y15" s="2">
        <f t="shared" si="1"/>
        <v>129152</v>
      </c>
      <c r="Z15" s="2">
        <f t="shared" si="2"/>
        <v>108894</v>
      </c>
      <c r="AA15" s="3">
        <f t="shared" si="3"/>
        <v>0.1845218365</v>
      </c>
      <c r="AB15" s="4">
        <f t="shared" si="4"/>
        <v>0.1555788595</v>
      </c>
    </row>
    <row r="16">
      <c r="A16" s="1" t="s">
        <v>56</v>
      </c>
      <c r="B16" s="1" t="s">
        <v>57</v>
      </c>
      <c r="C16" s="1">
        <v>443704.0</v>
      </c>
      <c r="D16" s="1">
        <v>85259.0</v>
      </c>
      <c r="E16" s="1">
        <v>19.22</v>
      </c>
      <c r="F16" s="1">
        <v>23147.0</v>
      </c>
      <c r="G16" s="1">
        <v>26760.0</v>
      </c>
      <c r="H16" s="1">
        <v>28174.0</v>
      </c>
      <c r="I16" s="1">
        <v>30110.0</v>
      </c>
      <c r="J16" s="1">
        <v>32983.0</v>
      </c>
      <c r="K16" s="1">
        <v>34920.0</v>
      </c>
      <c r="L16" s="1">
        <v>34441.0</v>
      </c>
      <c r="M16" s="1">
        <v>32721.0</v>
      </c>
      <c r="N16" s="1">
        <v>31216.0</v>
      </c>
      <c r="O16" s="1">
        <v>31846.0</v>
      </c>
      <c r="P16" s="1">
        <v>30804.0</v>
      </c>
      <c r="Q16" s="1">
        <v>27203.0</v>
      </c>
      <c r="R16" s="1">
        <v>24730.0</v>
      </c>
      <c r="S16" s="1">
        <v>18317.0</v>
      </c>
      <c r="T16" s="1">
        <v>13837.0</v>
      </c>
      <c r="U16" s="1">
        <v>9203.0</v>
      </c>
      <c r="V16" s="1">
        <v>6672.0</v>
      </c>
      <c r="W16" s="1">
        <v>6205.0</v>
      </c>
      <c r="X16" s="1">
        <v>415.0</v>
      </c>
      <c r="Y16" s="2">
        <f t="shared" si="1"/>
        <v>78081</v>
      </c>
      <c r="Z16" s="2">
        <f t="shared" si="2"/>
        <v>78964</v>
      </c>
      <c r="AA16" s="3">
        <f t="shared" si="3"/>
        <v>0.1759754251</v>
      </c>
      <c r="AB16" s="4">
        <f t="shared" si="4"/>
        <v>0.1779654905</v>
      </c>
    </row>
    <row r="17">
      <c r="A17" s="1" t="s">
        <v>58</v>
      </c>
      <c r="B17" s="1" t="s">
        <v>59</v>
      </c>
      <c r="C17" s="1">
        <v>442178.0</v>
      </c>
      <c r="D17" s="1">
        <v>84575.0</v>
      </c>
      <c r="E17" s="1">
        <v>19.13</v>
      </c>
      <c r="F17" s="1">
        <v>24870.0</v>
      </c>
      <c r="G17" s="1">
        <v>30905.0</v>
      </c>
      <c r="H17" s="1">
        <v>33274.0</v>
      </c>
      <c r="I17" s="1">
        <v>34956.0</v>
      </c>
      <c r="J17" s="1">
        <v>36979.0</v>
      </c>
      <c r="K17" s="1">
        <v>36563.0</v>
      </c>
      <c r="L17" s="1">
        <v>34292.0</v>
      </c>
      <c r="M17" s="1">
        <v>33280.0</v>
      </c>
      <c r="N17" s="1">
        <v>31786.0</v>
      </c>
      <c r="O17" s="1">
        <v>31099.0</v>
      </c>
      <c r="P17" s="1">
        <v>29135.0</v>
      </c>
      <c r="Q17" s="1">
        <v>23843.0</v>
      </c>
      <c r="R17" s="1">
        <v>20294.0</v>
      </c>
      <c r="S17" s="1">
        <v>14945.0</v>
      </c>
      <c r="T17" s="1">
        <v>10875.0</v>
      </c>
      <c r="U17" s="1">
        <v>6794.0</v>
      </c>
      <c r="V17" s="1">
        <v>4235.0</v>
      </c>
      <c r="W17" s="1">
        <v>3844.0</v>
      </c>
      <c r="X17" s="1">
        <v>209.0</v>
      </c>
      <c r="Y17" s="2">
        <f t="shared" si="1"/>
        <v>89049</v>
      </c>
      <c r="Z17" s="2">
        <f t="shared" si="2"/>
        <v>60987</v>
      </c>
      <c r="AA17" s="3">
        <f t="shared" si="3"/>
        <v>0.2013872241</v>
      </c>
      <c r="AB17" s="4">
        <f t="shared" si="4"/>
        <v>0.1379240939</v>
      </c>
    </row>
    <row r="18">
      <c r="AA18" s="4"/>
    </row>
  </sheetData>
  <drawing r:id="rId1"/>
</worksheet>
</file>